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33795" yWindow="1590" windowWidth="21600" windowHeight="15825" tabRatio="675" activeTab="2"/>
  </bookViews>
  <sheets>
    <sheet name="9TE 24ch CV - fab_PCB" sheetId="16" r:id="rId1"/>
    <sheet name="Manual" sheetId="17" r:id="rId2"/>
    <sheet name="BOM" sheetId="19" r:id="rId3"/>
  </sheet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8" i="19" l="1"/>
  <c r="H35" i="19"/>
  <c r="H27" i="19"/>
  <c r="H26" i="19"/>
  <c r="H25" i="19"/>
  <c r="H24" i="19"/>
  <c r="H23" i="19"/>
  <c r="H22" i="19"/>
  <c r="H21" i="19"/>
  <c r="H20" i="19"/>
  <c r="H18" i="19"/>
  <c r="H17" i="19"/>
  <c r="H16" i="19"/>
  <c r="H15" i="19"/>
  <c r="H14" i="19"/>
  <c r="H13" i="19"/>
  <c r="H12" i="19"/>
  <c r="H11" i="19"/>
  <c r="H10" i="19"/>
  <c r="H9" i="19"/>
  <c r="H8" i="19"/>
  <c r="H7" i="19"/>
  <c r="H6" i="19"/>
  <c r="H5" i="19"/>
  <c r="H4" i="19"/>
  <c r="G56" i="16" l="1"/>
  <c r="G57" i="16"/>
  <c r="G58" i="16"/>
  <c r="G59" i="16"/>
  <c r="G60" i="16"/>
  <c r="G61" i="16"/>
  <c r="G55" i="16"/>
  <c r="G54" i="16"/>
  <c r="G39" i="16"/>
  <c r="G40" i="16"/>
  <c r="G41" i="16"/>
  <c r="G42" i="16"/>
  <c r="G43" i="16"/>
  <c r="G44" i="16"/>
  <c r="G45" i="16"/>
  <c r="G46" i="16"/>
  <c r="G47" i="16"/>
  <c r="G48" i="16"/>
  <c r="G49" i="16"/>
  <c r="G50" i="16"/>
  <c r="G51" i="16"/>
  <c r="G52" i="16"/>
  <c r="G53" i="16"/>
  <c r="G38" i="16"/>
</calcChain>
</file>

<file path=xl/sharedStrings.xml><?xml version="1.0" encoding="utf-8"?>
<sst xmlns="http://schemas.openxmlformats.org/spreadsheetml/2006/main" count="205" uniqueCount="182">
  <si>
    <t>A</t>
  </si>
  <si>
    <t>B</t>
  </si>
  <si>
    <t>C</t>
  </si>
  <si>
    <t>D</t>
  </si>
  <si>
    <t>E</t>
  </si>
  <si>
    <t>F</t>
  </si>
  <si>
    <t>G</t>
  </si>
  <si>
    <t>H</t>
  </si>
  <si>
    <t>I</t>
  </si>
  <si>
    <t>J</t>
  </si>
  <si>
    <t>K</t>
  </si>
  <si>
    <t>L</t>
  </si>
  <si>
    <t>Kühlkörper</t>
  </si>
  <si>
    <t>PCA9685</t>
  </si>
  <si>
    <t>U</t>
  </si>
  <si>
    <t>S</t>
  </si>
  <si>
    <t>IRLZ44N</t>
  </si>
  <si>
    <t>R</t>
  </si>
  <si>
    <t>W</t>
  </si>
  <si>
    <t>T</t>
  </si>
  <si>
    <t>PCB 1 - Technologie</t>
  </si>
  <si>
    <t>PCB 2 - Common</t>
  </si>
  <si>
    <t>Breite</t>
  </si>
  <si>
    <t>Länge</t>
  </si>
  <si>
    <t>Abstände:</t>
  </si>
  <si>
    <t>PCB 2  - Gehäusedeckel</t>
  </si>
  <si>
    <t>PCB2 - PCB 1</t>
  </si>
  <si>
    <t>PCB1 - Boden</t>
  </si>
  <si>
    <t>3,5 - 8,0</t>
  </si>
  <si>
    <t>Löcher im PCB 1</t>
  </si>
  <si>
    <t>links unten</t>
  </si>
  <si>
    <t>rechts oben</t>
  </si>
  <si>
    <t>seitlich</t>
  </si>
  <si>
    <t>oben/unten</t>
  </si>
  <si>
    <t>Höhe TO220 mit Kühler, liegend:</t>
  </si>
  <si>
    <t>Höhe TO220 mit Kühler, stehend:</t>
  </si>
  <si>
    <t>ItsyBitsy auf flachen Verb.</t>
  </si>
  <si>
    <t>PCB1 - Gehäuse"schultern" unten</t>
  </si>
  <si>
    <t>PCB1 - Gehäuse"schultern" oben</t>
  </si>
  <si>
    <t>U1</t>
  </si>
  <si>
    <t>chan</t>
  </si>
  <si>
    <t>U2</t>
  </si>
  <si>
    <t>ToDos:</t>
  </si>
  <si>
    <t>Adum1250 test with 1MHz</t>
  </si>
  <si>
    <t>OK</t>
  </si>
  <si>
    <t>Test PCA9685 reg. Timing</t>
  </si>
  <si>
    <t xml:space="preserve">OK </t>
  </si>
  <si>
    <t>Test 24V-&gt;5V Step Down</t>
  </si>
  <si>
    <t>Test Display ILI</t>
  </si>
  <si>
    <t>Current Consumption 2.2 TFT</t>
  </si>
  <si>
    <t>sw: sperrobjekte</t>
  </si>
  <si>
    <t>PCB</t>
  </si>
  <si>
    <t>Hutschienengehäuse</t>
  </si>
  <si>
    <t>Apra Rail DB 9 GBS</t>
  </si>
  <si>
    <t>APRA DB9 GBS</t>
  </si>
  <si>
    <t>1St</t>
  </si>
  <si>
    <t>5St</t>
  </si>
  <si>
    <t>Basisstecker 8pol</t>
  </si>
  <si>
    <t>AKL 220-08</t>
  </si>
  <si>
    <t>AKL 249-08</t>
  </si>
  <si>
    <t>Anschlusstecker 8pol</t>
  </si>
  <si>
    <t>Metz Connect RIACON 220-08</t>
  </si>
  <si>
    <t>Metz Connect RIACON 249-08</t>
  </si>
  <si>
    <t>Basisstecker 4pol</t>
  </si>
  <si>
    <t>Anschlusstecker 4pol</t>
  </si>
  <si>
    <t>Basisstecker 2pol</t>
  </si>
  <si>
    <t>Anschlusstecker 2pol</t>
  </si>
  <si>
    <t>Metz Connect RIACON 249-04</t>
  </si>
  <si>
    <t>Metz Connect RIACON 220-04</t>
  </si>
  <si>
    <t>Metz Connect RIACON 249-02</t>
  </si>
  <si>
    <t>Metz Connect RIACON 220-02</t>
  </si>
  <si>
    <t>AKL 220-04</t>
  </si>
  <si>
    <t>AKL 220-02</t>
  </si>
  <si>
    <t>AKL 249-02</t>
  </si>
  <si>
    <t>AKL 249-04</t>
  </si>
  <si>
    <t>N-Channel MOSFET</t>
  </si>
  <si>
    <t>IRLZ 44N</t>
  </si>
  <si>
    <t>Reichelt BestNr</t>
  </si>
  <si>
    <t>Bezeicnung</t>
  </si>
  <si>
    <t>Teil</t>
  </si>
  <si>
    <t>Gate-Vorwiderstand</t>
  </si>
  <si>
    <t>SMD Widerstand 1206 100R</t>
  </si>
  <si>
    <t>RND 1551206 AG</t>
  </si>
  <si>
    <t>PWM-Treiber</t>
  </si>
  <si>
    <t>Galv. Trennung I2C</t>
  </si>
  <si>
    <t>Adum1250</t>
  </si>
  <si>
    <t>Vielschicht-Kerko, 100nF, 50V, 125°C</t>
  </si>
  <si>
    <t>KEM X7R1206B100N</t>
  </si>
  <si>
    <t>Decoupling C PWM</t>
  </si>
  <si>
    <t>C galv. Trennung</t>
  </si>
  <si>
    <t>RND 1501206B4733</t>
  </si>
  <si>
    <t>SMD-Kerko, 1206, 47 nF, 50 V, 10%, MLCC</t>
  </si>
  <si>
    <t>Gate-Pulldown</t>
  </si>
  <si>
    <t>SMD Widerstand 1206 10k</t>
  </si>
  <si>
    <t>I2C Pullup</t>
  </si>
  <si>
    <t>OE Pulldown</t>
  </si>
  <si>
    <t>Wannenstecker</t>
  </si>
  <si>
    <t>24V Netzteil</t>
  </si>
  <si>
    <t>Verb. PCB</t>
  </si>
  <si>
    <t>Verb. KNX</t>
  </si>
  <si>
    <t>Controllerplatine</t>
  </si>
  <si>
    <t>WSL 6G</t>
  </si>
  <si>
    <t>Wannenstecker, 6-polig, gerade</t>
  </si>
  <si>
    <t>PFL 6</t>
  </si>
  <si>
    <t>Pfostensteckverbinder</t>
  </si>
  <si>
    <t>80mA</t>
  </si>
  <si>
    <t>NCN5120 BCU 5V testen</t>
  </si>
  <si>
    <t>sw: 4bit dimmen testen</t>
  </si>
  <si>
    <t>layout Controllerboard fixieren (siemensbcu2 + 20V Netzteil)</t>
  </si>
  <si>
    <t>DS18b20 in Testaufbau</t>
  </si>
  <si>
    <t>tft im testaufbau umbauen</t>
  </si>
  <si>
    <t>tft mechanik absichern (platine sägen und probieren)</t>
  </si>
  <si>
    <t>BCU Stromlieferfähigkeit testen</t>
  </si>
  <si>
    <t>TFT Strombedarf (J1 closed, dimmed) ermitteln</t>
  </si>
  <si>
    <t>4pin wandler auf App-Platine</t>
  </si>
  <si>
    <t>passt wenn SD card weg und header spacer</t>
  </si>
  <si>
    <t>17ma samd, 27ma samd+ili, 60ma samd+ili+tft-light100%, 45mA wenn backlight 80/255
20mA wenn display sleep</t>
  </si>
  <si>
    <t>OK!</t>
  </si>
  <si>
    <t>RST auf GND Testboard</t>
  </si>
  <si>
    <t>Adapter ItsyBitsy mit allen Pins Steckbrett löten</t>
  </si>
  <si>
    <t>Tastaufbau Pin 3+4</t>
  </si>
  <si>
    <t>C für µC Seite Adum1250</t>
  </si>
  <si>
    <t>Fading Time</t>
  </si>
  <si>
    <t>Bestimmt die Zeit, in der der Kanal von 0 auf 100% dimmt. Wird nur ein Teil der kompletten Dimmkurve durchfahren, so reduziert sich die Zeit entsprechend. Der Wert gilt für Schalten, Dimmen und Relativ Dimmen</t>
  </si>
  <si>
    <t>Switch On at Dimm</t>
  </si>
  <si>
    <t>Sperrobjekt Modus</t>
  </si>
  <si>
    <t>Rückfallzeit Sperrobjekt</t>
  </si>
  <si>
    <t>Sperrfunktion:</t>
  </si>
  <si>
    <t>Treppenlicht Zeit</t>
  </si>
  <si>
    <t>gibt an nach Ablauf welcher Zeit automatisch entsperrt wird (Vielfache von 1min, 0 = deaktiviert)</t>
  </si>
  <si>
    <t>NOK</t>
  </si>
  <si>
    <t>RST auf VCC im layout</t>
  </si>
  <si>
    <t>Timing TFT untersuchen</t>
  </si>
  <si>
    <t>RST auf 3v3 am Testboard</t>
  </si>
  <si>
    <t>Einschaltwert</t>
  </si>
  <si>
    <t>2 Byte Hex-Wert für Initialdimmwerte bei Tag und Nacht.
Die ersten beiden Ziffern von 00 bis FF definieren das Verhaltem bei Tag, die letzten beiden Ziffern von 00-FF definieren das Verhalten bei Nacht.
00 = letzter Dimmwert vor dem Ausschalten wird verwendet
01-FF = dieser Dimmwert wird beim Einschalten über Schalt- oder Sperrobjekt verwendet
Beispiel: "5500"
Einschaltwert Tag = 55h = 85d = 33%
Einschaltwert Nacht = 0h := letzten Wert verwenden</t>
  </si>
  <si>
    <t>Knx.update testen (ggf. A flag)</t>
  </si>
  <si>
    <t>Einstellungen / Parameter Dimmkanal Allg</t>
  </si>
  <si>
    <t>Einstellungen / Parameter Dimmkanal 1ch</t>
  </si>
  <si>
    <t>Einstellungen / Parameter Dimmkanal RGB</t>
  </si>
  <si>
    <t>6 Byte Hex-Wert für Initialdimmwerte bei Tag und Nacht.
Die ersten 6 Ziffern von 000000 bis FFFFFF definieren das Verhaltem bei Tag, die letzten 6 Ziffern von 000000 bis FFFFFF definieren das Verhalten bei Nacht.
000000 = letzter Dimmwert vor dem Ausschalten wird verwendet
alle anderen = dieser Dimmwert wird beim Einschalten über Schalt- oder Sperrobjekt verwendet. Die ersten beiden Ziffern stehen für Rot, 3-4 für Grün und 5-6 für Rot.
Beispiel: "FFA500000000"
Einschaltwert Tag = FFFA00h, FFh = 255d = 100% Rot, A5h = 165d = 64% Grün, 00h = 0d = 0% Blau, 
Einschaltwert Nacht = 000000h := letzten Wert verwenden</t>
  </si>
  <si>
    <t>SMD-Elko, 10 µF, 25 V, 105°C, 5000 h, 20%</t>
  </si>
  <si>
    <t>HD-V 10U 25</t>
  </si>
  <si>
    <t>RND 1206 1 10K</t>
  </si>
  <si>
    <t>SMD Widerstand 1206 1k</t>
  </si>
  <si>
    <t>RND 1206 1 1,0K</t>
  </si>
  <si>
    <t>layout dimmerboard fixieren</t>
  </si>
  <si>
    <t>PCA9685 ordern</t>
  </si>
  <si>
    <t>PCB bestellen</t>
  </si>
  <si>
    <t>M</t>
  </si>
  <si>
    <t>N</t>
  </si>
  <si>
    <t>O</t>
  </si>
  <si>
    <t>P</t>
  </si>
  <si>
    <t>Q</t>
  </si>
  <si>
    <t>V</t>
  </si>
  <si>
    <t>X</t>
  </si>
  <si>
    <t>PCA chan</t>
  </si>
  <si>
    <t>PCA Pad</t>
  </si>
  <si>
    <t>Calc LDO vs. Step-Down</t>
  </si>
  <si>
    <t>2mA @ 5V</t>
  </si>
  <si>
    <t>LDO: 2,1mA @ 24V</t>
  </si>
  <si>
    <t>0,0441W</t>
  </si>
  <si>
    <t xml:space="preserve">Stepdown: </t>
  </si>
  <si>
    <t>0,01W</t>
  </si>
  <si>
    <t>Betriebsstunden: 800</t>
  </si>
  <si>
    <t>8Wh</t>
  </si>
  <si>
    <t>gibt an, nach welcher Zeit ohne Empfang eines Schalt-, Dimm- oder Szenen(abruf-)befehls der Kanal ausgeschaltet wird (Vielfache von 1min, 0 = deaktiviert)</t>
  </si>
  <si>
    <t>Wird im Zustand AUS ein Dimmbefehl (absolut oder relativ) empfangen, wird der Kanal eingeschaltet und auf den Wert gesetzt.
Wird im Zustand AN auf 0% gedimmt, wir der Kanal ausgeschaltet. Dabei wird der aktuelle Dimmwert beibehalten, er wird NICHT auf 0 gesetzt.
[00=disabled|01=only ON|02=only OFF|03=ON and OFF]</t>
  </si>
  <si>
    <t>Animation:</t>
  </si>
  <si>
    <t>Beschreibung Funktionen</t>
  </si>
  <si>
    <t xml:space="preserve">0x00: 1 Bit: 0=entsperren,1=AUS
0x01: 1 Bit: 0=entsperren, 1=AN
0x02: 1 Bit: 0=entsperren. 1=FREEZE
0x03:1 Bit: 0=AUS, 1=AN (entsperren nur über Rückfallzeit)
0x10: 2Bit: 0x entsperren, 10 AUS, 11 AN
0x11: 2Bit: 0x entsperren, 10 AUS, 11 FREEZE
0x12: 2Bit: 0x entsperren, 10 FREEZE, 11 AN
0x20: 8Bit: 0=entsperren, 1-ff Dimmvalue
</t>
  </si>
  <si>
    <t>Szenenfunktion:</t>
  </si>
  <si>
    <t>Die Szenenfunktion speichert den aktuellen Zustand des Kanals: Ein/Aus, Dimmwert, Animation.
Nicht gespeichert werden: AutoOff-Laufzeit und Sperre
Wird während einer aktiven Sperr/Zwangsführung eine Szene gespeichert, so werden die Werte in die Szene übernommen, die gerade "aktiv" sind
Beim Laden einer Szene wird ein ggf. parametrierter AutoOff neu gestartet
Eine "aktive" Szene gibt es nicht. Ein Szenentelegramm stellt einen Zustand her, ansonsten ist die Funktion zustandslos
Daher erfolgt auch keine Quittierung über einen Szenenstatus und das Szenenobjekt kann nicht gelesen werden.</t>
  </si>
  <si>
    <t>Beschreibung Kommunikationsobjekte</t>
  </si>
  <si>
    <t>Animation (5.010 / 8 Bit)</t>
  </si>
  <si>
    <t>IST: 0 = Animation aus, != 0 Auswahl der Animation</t>
  </si>
  <si>
    <t>SOLL: 16- oder 32bit KO. 1 Byte für Auswahl der Animation, 1 Byte für Speed, 1 Byte für Farbe</t>
  </si>
  <si>
    <t>Animation (12.001 / 32 Bit)</t>
  </si>
  <si>
    <t>0x00: 1 Bit: 0=entsperren,1=AUS
0x01: 1 Bit: 0=entsperren, 1=AN
0x02: 1 Bit: 0=entsperren. 1=FREEZE
0x03:1 Bit: 0=AUS, 1=AN (entsperren nur über Rückfallzeit)
0x10: 2Bit: 0x entsperren, 10 AUS, 11 AN
0x11: 2Bit: 0x entsperren, 10 AUS, 11 FREEZE
0x12: 2Bit: 0x entsperren, 10 FREEZE, 11 AN</t>
  </si>
  <si>
    <t>Ist ein Kanal gesperrt, so werden alle Telegramme (außer LOCK und Szene speichern) ignoriert (auch kein Status gesendet), beim Entsperren wird der Zustand vor der Sperre wieder hergestellt. (Animation bei RGB beachten)
Bei AN/AUS über Sperrobjekt wird der aktuell passende Einschaltwert Tag bzw. Nacht gesetzt bzw. der Kanal ausgeschaltet. Ist der Kanal AN und wird über Lock ein AN angefordert, so wird der aktuelle Wert beibehalten, auch wenn ein spez. Einschaltwert definiert ist.
AutoOff Funktion hat keine Auswirkung im Sperrmodus, der timer wird gestoppt. und läuft neu an, wenn der Zustand wieder hergestellt wird.</t>
  </si>
  <si>
    <t>Animation = 0 ist Normalbetrieb - Dimmwert wird verwendet.
Animation != 0 bedeutet, dass eine Animation verwendet wird. Der Dimmwert wird ignoriert.
Bei Animation != 0 kann der Kanal Ein- oder Ausgeschaltet werden, die Animation bleibt dabei erhalten.
Dimm-Telegramm beendet die Animation (setzt diese auf 0) und stellt den entsprechenden Dimmwert ein.
Switch-On-Dimm Parameter wird berücksichtigt wie bei Dimm-Telegrammen
Wird bei aktiver Animation (AN oder AUS) eine Sperre FREEZE gesetzt, so bleibt die Animation erhalten.
Wird bei aktiver Animation (AN) eine Sperre AN gesetzt, so bleibt die Animation erhalten (egal, ob ein Einschaltwert definiert ist)
Wird bei aktiver Animation (AN) eine Sperre AUS gesetzt, so bleibt die Animation erhalten und der Kanal wird ausgeschaltet.
Wird bei aktiver Animation (AUS) eine Sperre AN gesetzt, so bleibt die Animation erhalten wenn kein Einschaltwert definiert ist. Andernfalls wird die Animation beendet und der Einschaltwert gesetzt.
Wird bei aktiver Animation (AUS) eine Sperre AUS gesetzt, so bleibt die Animation erhalten und der Kanal bleibt ausgeschaltet.</t>
  </si>
  <si>
    <t>Stand: V01.01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</si>
</sst>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0"/>
      <color theme="1"/>
      <name val="Arial"/>
      <family val="2"/>
    </font>
    <font>
      <b/>
      <sz val="10"/>
      <color theme="1"/>
      <name val="Arial"/>
      <family val="2"/>
    </font>
    <font>
      <sz val="1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1">
    <xf numFmtId="0" fontId="0" fillId="0" borderId="0"/>
  </cellStyleXfs>
  <cellXfs count="9">
    <xf numFmtId="0" fontId="0" fillId="0" borderId="0" xfId="0"/>
    <xf numFmtId="0" fontId="0" fillId="2" borderId="0" xfId="0" applyFill="1"/>
    <xf numFmtId="0" fontId="1" fillId="0" borderId="0" xfId="0" applyFont="1"/>
    <xf numFmtId="0" fontId="0" fillId="0" borderId="0" xfId="0" applyAlignment="1">
      <alignment wrapText="1"/>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2" fillId="0" borderId="0" xfId="0" applyFont="1" applyAlignment="1">
      <alignment vertical="top" wrapText="1"/>
    </xf>
    <xf numFmtId="0" fontId="2" fillId="0" borderId="0" xfId="0" applyFont="1"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B3:L76"/>
  <sheetViews>
    <sheetView topLeftCell="Q1" workbookViewId="0">
      <selection activeCell="R3" sqref="R3:AA40"/>
    </sheetView>
  </sheetViews>
  <sheetFormatPr baseColWidth="10" defaultRowHeight="12.75" x14ac:dyDescent="0.2"/>
  <cols>
    <col min="2" max="2" width="18.42578125" customWidth="1"/>
    <col min="5" max="5" width="5" bestFit="1" customWidth="1"/>
    <col min="6" max="6" width="4.140625" customWidth="1"/>
    <col min="7" max="7" width="4" bestFit="1" customWidth="1"/>
    <col min="11" max="11" width="53.140625" customWidth="1"/>
    <col min="12" max="12" width="45" customWidth="1"/>
    <col min="19" max="19" width="29.140625" customWidth="1"/>
    <col min="20" max="20" width="38.42578125" bestFit="1" customWidth="1"/>
    <col min="21" max="21" width="18.7109375" bestFit="1" customWidth="1"/>
    <col min="22" max="22" width="8.140625" customWidth="1"/>
  </cols>
  <sheetData>
    <row r="3" spans="2:12" x14ac:dyDescent="0.2">
      <c r="K3" t="s">
        <v>42</v>
      </c>
    </row>
    <row r="4" spans="2:12" x14ac:dyDescent="0.2">
      <c r="C4" t="s">
        <v>22</v>
      </c>
      <c r="D4" t="s">
        <v>23</v>
      </c>
    </row>
    <row r="5" spans="2:12" x14ac:dyDescent="0.2">
      <c r="B5" t="s">
        <v>20</v>
      </c>
      <c r="C5">
        <v>86.8</v>
      </c>
      <c r="D5">
        <v>156</v>
      </c>
      <c r="K5" t="s">
        <v>45</v>
      </c>
      <c r="L5" t="s">
        <v>46</v>
      </c>
    </row>
    <row r="6" spans="2:12" x14ac:dyDescent="0.2">
      <c r="B6" t="s">
        <v>21</v>
      </c>
      <c r="C6">
        <v>40.6</v>
      </c>
      <c r="D6">
        <v>155.5</v>
      </c>
      <c r="K6" t="s">
        <v>43</v>
      </c>
      <c r="L6" t="s">
        <v>44</v>
      </c>
    </row>
    <row r="7" spans="2:12" x14ac:dyDescent="0.2">
      <c r="K7" t="s">
        <v>47</v>
      </c>
      <c r="L7" t="s">
        <v>44</v>
      </c>
    </row>
    <row r="8" spans="2:12" x14ac:dyDescent="0.2">
      <c r="B8" t="s">
        <v>24</v>
      </c>
      <c r="K8" t="s">
        <v>48</v>
      </c>
      <c r="L8" t="s">
        <v>44</v>
      </c>
    </row>
    <row r="9" spans="2:12" x14ac:dyDescent="0.2">
      <c r="B9" t="s">
        <v>25</v>
      </c>
      <c r="D9">
        <v>5</v>
      </c>
      <c r="K9" t="s">
        <v>49</v>
      </c>
      <c r="L9" t="s">
        <v>105</v>
      </c>
    </row>
    <row r="10" spans="2:12" x14ac:dyDescent="0.2">
      <c r="B10" t="s">
        <v>26</v>
      </c>
      <c r="D10">
        <v>36.5</v>
      </c>
      <c r="K10" t="s">
        <v>111</v>
      </c>
      <c r="L10" t="s">
        <v>115</v>
      </c>
    </row>
    <row r="11" spans="2:12" x14ac:dyDescent="0.2">
      <c r="B11" t="s">
        <v>27</v>
      </c>
      <c r="D11" t="s">
        <v>28</v>
      </c>
      <c r="K11" t="s">
        <v>106</v>
      </c>
      <c r="L11" t="s">
        <v>44</v>
      </c>
    </row>
    <row r="12" spans="2:12" x14ac:dyDescent="0.2">
      <c r="B12" t="s">
        <v>38</v>
      </c>
      <c r="D12">
        <v>33</v>
      </c>
      <c r="K12" t="s">
        <v>112</v>
      </c>
      <c r="L12" t="s">
        <v>44</v>
      </c>
    </row>
    <row r="13" spans="2:12" ht="38.25" x14ac:dyDescent="0.2">
      <c r="B13" t="s">
        <v>37</v>
      </c>
      <c r="D13">
        <v>17</v>
      </c>
      <c r="K13" t="s">
        <v>113</v>
      </c>
      <c r="L13" s="3" t="s">
        <v>116</v>
      </c>
    </row>
    <row r="14" spans="2:12" x14ac:dyDescent="0.2">
      <c r="K14" t="s">
        <v>107</v>
      </c>
      <c r="L14" t="s">
        <v>117</v>
      </c>
    </row>
    <row r="15" spans="2:12" x14ac:dyDescent="0.2">
      <c r="K15" t="s">
        <v>109</v>
      </c>
      <c r="L15" t="s">
        <v>44</v>
      </c>
    </row>
    <row r="16" spans="2:12" x14ac:dyDescent="0.2">
      <c r="K16" t="s">
        <v>110</v>
      </c>
      <c r="L16" t="s">
        <v>44</v>
      </c>
    </row>
    <row r="17" spans="2:12" x14ac:dyDescent="0.2">
      <c r="B17" t="s">
        <v>29</v>
      </c>
      <c r="K17" t="s">
        <v>118</v>
      </c>
      <c r="L17" t="s">
        <v>130</v>
      </c>
    </row>
    <row r="18" spans="2:12" x14ac:dyDescent="0.2">
      <c r="B18" t="s">
        <v>30</v>
      </c>
      <c r="C18" t="s">
        <v>32</v>
      </c>
      <c r="D18">
        <v>7.5</v>
      </c>
      <c r="K18" t="s">
        <v>133</v>
      </c>
      <c r="L18" t="s">
        <v>44</v>
      </c>
    </row>
    <row r="19" spans="2:12" x14ac:dyDescent="0.2">
      <c r="B19" t="s">
        <v>31</v>
      </c>
      <c r="C19" t="s">
        <v>33</v>
      </c>
      <c r="D19">
        <v>16.5</v>
      </c>
      <c r="K19" t="s">
        <v>131</v>
      </c>
      <c r="L19" t="s">
        <v>44</v>
      </c>
    </row>
    <row r="20" spans="2:12" x14ac:dyDescent="0.2">
      <c r="K20" t="s">
        <v>136</v>
      </c>
      <c r="L20" t="s">
        <v>44</v>
      </c>
    </row>
    <row r="21" spans="2:12" x14ac:dyDescent="0.2">
      <c r="K21" t="s">
        <v>119</v>
      </c>
      <c r="L21" t="s">
        <v>44</v>
      </c>
    </row>
    <row r="22" spans="2:12" x14ac:dyDescent="0.2">
      <c r="K22" t="s">
        <v>120</v>
      </c>
      <c r="L22" t="s">
        <v>44</v>
      </c>
    </row>
    <row r="23" spans="2:12" x14ac:dyDescent="0.2">
      <c r="K23" t="s">
        <v>121</v>
      </c>
      <c r="L23" t="s">
        <v>44</v>
      </c>
    </row>
    <row r="24" spans="2:12" x14ac:dyDescent="0.2">
      <c r="K24" t="s">
        <v>108</v>
      </c>
      <c r="L24" t="s">
        <v>44</v>
      </c>
    </row>
    <row r="25" spans="2:12" x14ac:dyDescent="0.2">
      <c r="B25" t="s">
        <v>34</v>
      </c>
      <c r="D25">
        <v>15</v>
      </c>
      <c r="K25" t="s">
        <v>50</v>
      </c>
    </row>
    <row r="26" spans="2:12" x14ac:dyDescent="0.2">
      <c r="K26" t="s">
        <v>114</v>
      </c>
      <c r="L26" t="s">
        <v>44</v>
      </c>
    </row>
    <row r="27" spans="2:12" x14ac:dyDescent="0.2">
      <c r="B27" t="s">
        <v>35</v>
      </c>
      <c r="D27">
        <v>22.5</v>
      </c>
      <c r="K27" t="s">
        <v>132</v>
      </c>
    </row>
    <row r="28" spans="2:12" x14ac:dyDescent="0.2">
      <c r="K28" t="s">
        <v>146</v>
      </c>
      <c r="L28" t="s">
        <v>44</v>
      </c>
    </row>
    <row r="29" spans="2:12" x14ac:dyDescent="0.2">
      <c r="B29" t="s">
        <v>36</v>
      </c>
      <c r="D29">
        <v>10</v>
      </c>
      <c r="K29" t="s">
        <v>147</v>
      </c>
      <c r="L29" t="s">
        <v>44</v>
      </c>
    </row>
    <row r="30" spans="2:12" x14ac:dyDescent="0.2">
      <c r="K30" t="s">
        <v>148</v>
      </c>
      <c r="L30" t="s">
        <v>44</v>
      </c>
    </row>
    <row r="37" spans="2:7" x14ac:dyDescent="0.2">
      <c r="B37" t="s">
        <v>13</v>
      </c>
      <c r="C37" t="s">
        <v>157</v>
      </c>
      <c r="D37" t="s">
        <v>156</v>
      </c>
      <c r="E37" t="s">
        <v>40</v>
      </c>
    </row>
    <row r="38" spans="2:7" x14ac:dyDescent="0.2">
      <c r="B38" t="s">
        <v>39</v>
      </c>
      <c r="C38" s="1">
        <v>22</v>
      </c>
      <c r="D38">
        <v>15</v>
      </c>
      <c r="E38">
        <v>1</v>
      </c>
      <c r="F38" t="s">
        <v>0</v>
      </c>
      <c r="G38">
        <f>D38+100</f>
        <v>115</v>
      </c>
    </row>
    <row r="39" spans="2:7" x14ac:dyDescent="0.2">
      <c r="C39" s="1">
        <v>21</v>
      </c>
      <c r="D39">
        <v>14</v>
      </c>
      <c r="E39">
        <v>2</v>
      </c>
      <c r="F39" t="s">
        <v>1</v>
      </c>
      <c r="G39">
        <f t="shared" ref="G39:G53" si="0">D39+100</f>
        <v>114</v>
      </c>
    </row>
    <row r="40" spans="2:7" x14ac:dyDescent="0.2">
      <c r="C40" s="1">
        <v>20</v>
      </c>
      <c r="D40">
        <v>13</v>
      </c>
      <c r="E40">
        <v>3</v>
      </c>
      <c r="F40" t="s">
        <v>2</v>
      </c>
      <c r="G40">
        <f t="shared" si="0"/>
        <v>113</v>
      </c>
    </row>
    <row r="41" spans="2:7" x14ac:dyDescent="0.2">
      <c r="C41" s="1">
        <v>19</v>
      </c>
      <c r="D41">
        <v>12</v>
      </c>
      <c r="E41">
        <v>4</v>
      </c>
      <c r="F41" t="s">
        <v>3</v>
      </c>
      <c r="G41">
        <f t="shared" si="0"/>
        <v>112</v>
      </c>
    </row>
    <row r="42" spans="2:7" x14ac:dyDescent="0.2">
      <c r="C42" s="1">
        <v>18</v>
      </c>
      <c r="D42">
        <v>11</v>
      </c>
      <c r="E42">
        <v>5</v>
      </c>
      <c r="F42" t="s">
        <v>4</v>
      </c>
      <c r="G42">
        <f t="shared" si="0"/>
        <v>111</v>
      </c>
    </row>
    <row r="43" spans="2:7" x14ac:dyDescent="0.2">
      <c r="C43" s="1">
        <v>15</v>
      </c>
      <c r="D43">
        <v>10</v>
      </c>
      <c r="E43">
        <v>8</v>
      </c>
      <c r="F43" t="s">
        <v>5</v>
      </c>
      <c r="G43">
        <f t="shared" si="0"/>
        <v>110</v>
      </c>
    </row>
    <row r="44" spans="2:7" x14ac:dyDescent="0.2">
      <c r="C44" s="1">
        <v>16</v>
      </c>
      <c r="D44">
        <v>9</v>
      </c>
      <c r="E44">
        <v>7</v>
      </c>
      <c r="F44" t="s">
        <v>6</v>
      </c>
      <c r="G44">
        <f t="shared" si="0"/>
        <v>109</v>
      </c>
    </row>
    <row r="45" spans="2:7" x14ac:dyDescent="0.2">
      <c r="C45" s="1">
        <v>17</v>
      </c>
      <c r="D45">
        <v>8</v>
      </c>
      <c r="E45">
        <v>6</v>
      </c>
      <c r="F45" t="s">
        <v>7</v>
      </c>
      <c r="G45">
        <f t="shared" si="0"/>
        <v>108</v>
      </c>
    </row>
    <row r="46" spans="2:7" x14ac:dyDescent="0.2">
      <c r="C46" s="1">
        <v>6</v>
      </c>
      <c r="D46">
        <v>0</v>
      </c>
      <c r="E46">
        <v>9</v>
      </c>
      <c r="F46" t="s">
        <v>8</v>
      </c>
      <c r="G46">
        <f t="shared" si="0"/>
        <v>100</v>
      </c>
    </row>
    <row r="47" spans="2:7" x14ac:dyDescent="0.2">
      <c r="C47" s="1">
        <v>7</v>
      </c>
      <c r="D47">
        <v>1</v>
      </c>
      <c r="E47">
        <v>10</v>
      </c>
      <c r="F47" t="s">
        <v>9</v>
      </c>
      <c r="G47">
        <f t="shared" si="0"/>
        <v>101</v>
      </c>
    </row>
    <row r="48" spans="2:7" x14ac:dyDescent="0.2">
      <c r="C48" s="1">
        <v>8</v>
      </c>
      <c r="D48">
        <v>2</v>
      </c>
      <c r="E48">
        <v>11</v>
      </c>
      <c r="F48" t="s">
        <v>10</v>
      </c>
      <c r="G48">
        <f t="shared" si="0"/>
        <v>102</v>
      </c>
    </row>
    <row r="49" spans="2:7" x14ac:dyDescent="0.2">
      <c r="C49" s="1">
        <v>9</v>
      </c>
      <c r="D49">
        <v>3</v>
      </c>
      <c r="E49">
        <v>12</v>
      </c>
      <c r="F49" t="s">
        <v>11</v>
      </c>
      <c r="G49">
        <f t="shared" si="0"/>
        <v>103</v>
      </c>
    </row>
    <row r="50" spans="2:7" x14ac:dyDescent="0.2">
      <c r="C50" s="1">
        <v>13</v>
      </c>
      <c r="D50">
        <v>4</v>
      </c>
      <c r="E50">
        <v>16</v>
      </c>
      <c r="F50" t="s">
        <v>149</v>
      </c>
      <c r="G50">
        <f t="shared" si="0"/>
        <v>104</v>
      </c>
    </row>
    <row r="51" spans="2:7" x14ac:dyDescent="0.2">
      <c r="C51" s="1">
        <v>12</v>
      </c>
      <c r="D51">
        <v>5</v>
      </c>
      <c r="E51">
        <v>15</v>
      </c>
      <c r="F51" t="s">
        <v>150</v>
      </c>
      <c r="G51">
        <f t="shared" si="0"/>
        <v>105</v>
      </c>
    </row>
    <row r="52" spans="2:7" x14ac:dyDescent="0.2">
      <c r="C52" s="1">
        <v>11</v>
      </c>
      <c r="D52">
        <v>6</v>
      </c>
      <c r="E52">
        <v>14</v>
      </c>
      <c r="F52" t="s">
        <v>151</v>
      </c>
      <c r="G52">
        <f t="shared" si="0"/>
        <v>106</v>
      </c>
    </row>
    <row r="53" spans="2:7" x14ac:dyDescent="0.2">
      <c r="C53" s="1">
        <v>10</v>
      </c>
      <c r="D53">
        <v>7</v>
      </c>
      <c r="E53">
        <v>13</v>
      </c>
      <c r="F53" t="s">
        <v>152</v>
      </c>
      <c r="G53">
        <f t="shared" si="0"/>
        <v>107</v>
      </c>
    </row>
    <row r="54" spans="2:7" x14ac:dyDescent="0.2">
      <c r="B54" t="s">
        <v>41</v>
      </c>
      <c r="C54" s="1">
        <v>6</v>
      </c>
      <c r="D54">
        <v>0</v>
      </c>
      <c r="E54">
        <v>17</v>
      </c>
      <c r="F54" t="s">
        <v>153</v>
      </c>
      <c r="G54">
        <f>D54+116</f>
        <v>116</v>
      </c>
    </row>
    <row r="55" spans="2:7" x14ac:dyDescent="0.2">
      <c r="C55" s="1">
        <v>7</v>
      </c>
      <c r="D55">
        <v>1</v>
      </c>
      <c r="E55">
        <v>18</v>
      </c>
      <c r="F55" t="s">
        <v>17</v>
      </c>
      <c r="G55">
        <f>D55+116</f>
        <v>117</v>
      </c>
    </row>
    <row r="56" spans="2:7" x14ac:dyDescent="0.2">
      <c r="C56" s="1">
        <v>8</v>
      </c>
      <c r="D56">
        <v>2</v>
      </c>
      <c r="E56">
        <v>19</v>
      </c>
      <c r="F56" t="s">
        <v>15</v>
      </c>
      <c r="G56">
        <f t="shared" ref="G56:G61" si="1">D56+116</f>
        <v>118</v>
      </c>
    </row>
    <row r="57" spans="2:7" x14ac:dyDescent="0.2">
      <c r="C57" s="1">
        <v>9</v>
      </c>
      <c r="D57">
        <v>3</v>
      </c>
      <c r="E57">
        <v>20</v>
      </c>
      <c r="F57" t="s">
        <v>19</v>
      </c>
      <c r="G57">
        <f t="shared" si="1"/>
        <v>119</v>
      </c>
    </row>
    <row r="58" spans="2:7" x14ac:dyDescent="0.2">
      <c r="C58" s="1">
        <v>13</v>
      </c>
      <c r="D58">
        <v>7</v>
      </c>
      <c r="E58">
        <v>21</v>
      </c>
      <c r="F58" t="s">
        <v>14</v>
      </c>
      <c r="G58">
        <f t="shared" si="1"/>
        <v>123</v>
      </c>
    </row>
    <row r="59" spans="2:7" x14ac:dyDescent="0.2">
      <c r="C59" s="1">
        <v>12</v>
      </c>
      <c r="D59">
        <v>6</v>
      </c>
      <c r="E59">
        <v>22</v>
      </c>
      <c r="F59" t="s">
        <v>154</v>
      </c>
      <c r="G59">
        <f t="shared" si="1"/>
        <v>122</v>
      </c>
    </row>
    <row r="60" spans="2:7" x14ac:dyDescent="0.2">
      <c r="C60" s="1">
        <v>11</v>
      </c>
      <c r="D60">
        <v>5</v>
      </c>
      <c r="E60">
        <v>23</v>
      </c>
      <c r="F60" t="s">
        <v>18</v>
      </c>
      <c r="G60">
        <f t="shared" si="1"/>
        <v>121</v>
      </c>
    </row>
    <row r="61" spans="2:7" x14ac:dyDescent="0.2">
      <c r="C61" s="1">
        <v>10</v>
      </c>
      <c r="D61">
        <v>4</v>
      </c>
      <c r="E61">
        <v>24</v>
      </c>
      <c r="F61" t="s">
        <v>155</v>
      </c>
      <c r="G61">
        <f t="shared" si="1"/>
        <v>120</v>
      </c>
    </row>
    <row r="68" spans="2:4" x14ac:dyDescent="0.2">
      <c r="B68" t="s">
        <v>158</v>
      </c>
    </row>
    <row r="71" spans="2:4" x14ac:dyDescent="0.2">
      <c r="D71" t="s">
        <v>164</v>
      </c>
    </row>
    <row r="72" spans="2:4" x14ac:dyDescent="0.2">
      <c r="B72" t="s">
        <v>159</v>
      </c>
      <c r="C72" t="s">
        <v>163</v>
      </c>
      <c r="D72" t="s">
        <v>165</v>
      </c>
    </row>
    <row r="75" spans="2:4" x14ac:dyDescent="0.2">
      <c r="B75" t="s">
        <v>160</v>
      </c>
      <c r="C75" t="s">
        <v>161</v>
      </c>
    </row>
    <row r="76" spans="2:4" x14ac:dyDescent="0.2">
      <c r="B76" t="s">
        <v>162</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39997558519241921"/>
  </sheetPr>
  <dimension ref="B3:C31"/>
  <sheetViews>
    <sheetView workbookViewId="0">
      <selection activeCell="D41" sqref="D41"/>
    </sheetView>
  </sheetViews>
  <sheetFormatPr baseColWidth="10" defaultRowHeight="12.75" x14ac:dyDescent="0.2"/>
  <cols>
    <col min="2" max="2" width="40" customWidth="1"/>
    <col min="3" max="3" width="176" customWidth="1"/>
  </cols>
  <sheetData>
    <row r="3" spans="2:3" x14ac:dyDescent="0.2">
      <c r="B3" s="2" t="s">
        <v>137</v>
      </c>
    </row>
    <row r="5" spans="2:3" x14ac:dyDescent="0.2">
      <c r="B5" s="6" t="s">
        <v>122</v>
      </c>
      <c r="C5" s="4" t="s">
        <v>123</v>
      </c>
    </row>
    <row r="6" spans="2:3" ht="38.25" x14ac:dyDescent="0.2">
      <c r="B6" s="6" t="s">
        <v>124</v>
      </c>
      <c r="C6" s="5" t="s">
        <v>167</v>
      </c>
    </row>
    <row r="7" spans="2:3" x14ac:dyDescent="0.2">
      <c r="B7" s="6" t="s">
        <v>126</v>
      </c>
      <c r="C7" t="s">
        <v>129</v>
      </c>
    </row>
    <row r="8" spans="2:3" x14ac:dyDescent="0.2">
      <c r="B8" s="6" t="s">
        <v>128</v>
      </c>
      <c r="C8" t="s">
        <v>166</v>
      </c>
    </row>
    <row r="10" spans="2:3" x14ac:dyDescent="0.2">
      <c r="B10" s="2" t="s">
        <v>138</v>
      </c>
    </row>
    <row r="11" spans="2:3" ht="114.75" x14ac:dyDescent="0.2">
      <c r="B11" s="6" t="s">
        <v>125</v>
      </c>
      <c r="C11" s="7" t="s">
        <v>170</v>
      </c>
    </row>
    <row r="12" spans="2:3" ht="102" x14ac:dyDescent="0.2">
      <c r="B12" s="6" t="s">
        <v>134</v>
      </c>
      <c r="C12" s="3" t="s">
        <v>135</v>
      </c>
    </row>
    <row r="13" spans="2:3" x14ac:dyDescent="0.2">
      <c r="B13" s="4"/>
      <c r="C13" s="3"/>
    </row>
    <row r="14" spans="2:3" x14ac:dyDescent="0.2">
      <c r="B14" s="2" t="s">
        <v>139</v>
      </c>
    </row>
    <row r="15" spans="2:3" ht="89.25" x14ac:dyDescent="0.2">
      <c r="B15" s="6" t="s">
        <v>125</v>
      </c>
      <c r="C15" s="5" t="s">
        <v>178</v>
      </c>
    </row>
    <row r="16" spans="2:3" ht="102" x14ac:dyDescent="0.2">
      <c r="B16" s="6" t="s">
        <v>134</v>
      </c>
      <c r="C16" s="3" t="s">
        <v>140</v>
      </c>
    </row>
    <row r="20" spans="2:3" x14ac:dyDescent="0.2">
      <c r="B20" s="2" t="s">
        <v>173</v>
      </c>
    </row>
    <row r="21" spans="2:3" x14ac:dyDescent="0.2">
      <c r="B21" s="2"/>
    </row>
    <row r="22" spans="2:3" x14ac:dyDescent="0.2">
      <c r="B22" s="1" t="s">
        <v>174</v>
      </c>
      <c r="C22" s="3" t="s">
        <v>175</v>
      </c>
    </row>
    <row r="23" spans="2:3" x14ac:dyDescent="0.2">
      <c r="B23" t="s">
        <v>177</v>
      </c>
      <c r="C23" s="3" t="s">
        <v>176</v>
      </c>
    </row>
    <row r="26" spans="2:3" x14ac:dyDescent="0.2">
      <c r="B26" s="2" t="s">
        <v>169</v>
      </c>
    </row>
    <row r="27" spans="2:3" ht="63.75" x14ac:dyDescent="0.2">
      <c r="B27" s="1" t="s">
        <v>127</v>
      </c>
      <c r="C27" s="8" t="s">
        <v>179</v>
      </c>
    </row>
    <row r="29" spans="2:3" ht="127.5" x14ac:dyDescent="0.2">
      <c r="B29" s="1" t="s">
        <v>168</v>
      </c>
      <c r="C29" s="8" t="s">
        <v>180</v>
      </c>
    </row>
    <row r="31" spans="2:3" ht="76.5" x14ac:dyDescent="0.2">
      <c r="B31" t="s">
        <v>171</v>
      </c>
      <c r="C31" s="3" t="s">
        <v>172</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8"/>
  <sheetViews>
    <sheetView tabSelected="1" workbookViewId="0">
      <selection activeCell="B39" sqref="B39"/>
    </sheetView>
  </sheetViews>
  <sheetFormatPr baseColWidth="10" defaultRowHeight="12.75" x14ac:dyDescent="0.2"/>
  <cols>
    <col min="2" max="2" width="23.5703125" customWidth="1"/>
    <col min="3" max="3" width="38.7109375" bestFit="1" customWidth="1"/>
    <col min="4" max="4" width="18.7109375" bestFit="1" customWidth="1"/>
  </cols>
  <sheetData>
    <row r="1" spans="1:10" x14ac:dyDescent="0.2">
      <c r="B1" t="s">
        <v>79</v>
      </c>
      <c r="C1" t="s">
        <v>78</v>
      </c>
      <c r="D1" t="s">
        <v>77</v>
      </c>
      <c r="E1" t="s">
        <v>55</v>
      </c>
      <c r="F1" t="s">
        <v>56</v>
      </c>
    </row>
    <row r="4" spans="1:10" x14ac:dyDescent="0.2">
      <c r="A4">
        <v>1</v>
      </c>
      <c r="B4" t="s">
        <v>51</v>
      </c>
      <c r="E4">
        <v>15</v>
      </c>
      <c r="F4">
        <v>3</v>
      </c>
      <c r="H4">
        <f t="shared" ref="H4:H18" si="0">A4*F4</f>
        <v>3</v>
      </c>
    </row>
    <row r="5" spans="1:10" x14ac:dyDescent="0.2">
      <c r="A5">
        <v>1</v>
      </c>
      <c r="B5" t="s">
        <v>52</v>
      </c>
      <c r="C5" t="s">
        <v>53</v>
      </c>
      <c r="D5" t="s">
        <v>54</v>
      </c>
      <c r="E5">
        <v>7.35</v>
      </c>
      <c r="F5">
        <v>7.35</v>
      </c>
      <c r="H5">
        <f t="shared" si="0"/>
        <v>7.35</v>
      </c>
      <c r="J5">
        <v>1</v>
      </c>
    </row>
    <row r="6" spans="1:10" x14ac:dyDescent="0.2">
      <c r="A6">
        <v>3</v>
      </c>
      <c r="B6" t="s">
        <v>57</v>
      </c>
      <c r="C6" t="s">
        <v>62</v>
      </c>
      <c r="D6" t="s">
        <v>58</v>
      </c>
      <c r="E6">
        <v>0.99</v>
      </c>
      <c r="F6">
        <v>0.99</v>
      </c>
      <c r="H6">
        <f t="shared" si="0"/>
        <v>2.9699999999999998</v>
      </c>
      <c r="J6">
        <v>3</v>
      </c>
    </row>
    <row r="7" spans="1:10" x14ac:dyDescent="0.2">
      <c r="A7">
        <v>3</v>
      </c>
      <c r="B7" t="s">
        <v>60</v>
      </c>
      <c r="C7" t="s">
        <v>61</v>
      </c>
      <c r="D7" t="s">
        <v>59</v>
      </c>
      <c r="E7">
        <v>1.75</v>
      </c>
      <c r="F7">
        <v>1.75</v>
      </c>
      <c r="H7">
        <f t="shared" si="0"/>
        <v>5.25</v>
      </c>
      <c r="J7">
        <v>3</v>
      </c>
    </row>
    <row r="8" spans="1:10" x14ac:dyDescent="0.2">
      <c r="A8">
        <v>1</v>
      </c>
      <c r="B8" t="s">
        <v>63</v>
      </c>
      <c r="C8" t="s">
        <v>67</v>
      </c>
      <c r="D8" t="s">
        <v>71</v>
      </c>
      <c r="E8">
        <v>0.54</v>
      </c>
      <c r="F8">
        <v>0.54</v>
      </c>
      <c r="H8">
        <f t="shared" si="0"/>
        <v>0.54</v>
      </c>
      <c r="J8">
        <v>1</v>
      </c>
    </row>
    <row r="9" spans="1:10" x14ac:dyDescent="0.2">
      <c r="A9">
        <v>1</v>
      </c>
      <c r="B9" t="s">
        <v>64</v>
      </c>
      <c r="C9" t="s">
        <v>68</v>
      </c>
      <c r="D9" t="s">
        <v>74</v>
      </c>
      <c r="E9">
        <v>0.94</v>
      </c>
      <c r="F9">
        <v>0.94</v>
      </c>
      <c r="H9">
        <f t="shared" si="0"/>
        <v>0.94</v>
      </c>
      <c r="J9">
        <v>1</v>
      </c>
    </row>
    <row r="10" spans="1:10" x14ac:dyDescent="0.2">
      <c r="A10">
        <v>1</v>
      </c>
      <c r="B10" t="s">
        <v>65</v>
      </c>
      <c r="C10" t="s">
        <v>69</v>
      </c>
      <c r="D10" t="s">
        <v>72</v>
      </c>
      <c r="E10">
        <v>0.27</v>
      </c>
      <c r="F10">
        <v>0.27</v>
      </c>
      <c r="H10">
        <f t="shared" si="0"/>
        <v>0.27</v>
      </c>
      <c r="J10">
        <v>1</v>
      </c>
    </row>
    <row r="11" spans="1:10" x14ac:dyDescent="0.2">
      <c r="A11">
        <v>1</v>
      </c>
      <c r="B11" t="s">
        <v>66</v>
      </c>
      <c r="C11" t="s">
        <v>70</v>
      </c>
      <c r="D11" t="s">
        <v>73</v>
      </c>
      <c r="E11">
        <v>0.59</v>
      </c>
      <c r="F11">
        <v>0.59</v>
      </c>
      <c r="H11">
        <f t="shared" si="0"/>
        <v>0.59</v>
      </c>
      <c r="J11">
        <v>1</v>
      </c>
    </row>
    <row r="12" spans="1:10" x14ac:dyDescent="0.2">
      <c r="A12">
        <v>24</v>
      </c>
      <c r="B12" t="s">
        <v>75</v>
      </c>
      <c r="C12" t="s">
        <v>16</v>
      </c>
      <c r="D12" t="s">
        <v>76</v>
      </c>
      <c r="E12">
        <v>0.66</v>
      </c>
      <c r="F12">
        <v>0.66</v>
      </c>
      <c r="H12">
        <f t="shared" si="0"/>
        <v>15.84</v>
      </c>
      <c r="J12">
        <v>35</v>
      </c>
    </row>
    <row r="13" spans="1:10" x14ac:dyDescent="0.2">
      <c r="A13">
        <v>24</v>
      </c>
      <c r="B13" t="s">
        <v>12</v>
      </c>
      <c r="H13">
        <f t="shared" si="0"/>
        <v>0</v>
      </c>
    </row>
    <row r="14" spans="1:10" x14ac:dyDescent="0.2">
      <c r="A14">
        <v>24</v>
      </c>
      <c r="B14" t="s">
        <v>80</v>
      </c>
      <c r="C14" t="s">
        <v>81</v>
      </c>
      <c r="D14" t="s">
        <v>82</v>
      </c>
      <c r="E14">
        <v>0.02</v>
      </c>
      <c r="F14">
        <v>0.02</v>
      </c>
      <c r="H14">
        <f t="shared" si="0"/>
        <v>0.48</v>
      </c>
    </row>
    <row r="15" spans="1:10" x14ac:dyDescent="0.2">
      <c r="A15">
        <v>24</v>
      </c>
      <c r="B15" t="s">
        <v>92</v>
      </c>
      <c r="C15" t="s">
        <v>93</v>
      </c>
      <c r="D15" t="s">
        <v>143</v>
      </c>
      <c r="E15">
        <v>0.02</v>
      </c>
      <c r="F15">
        <v>0.02</v>
      </c>
      <c r="H15">
        <f t="shared" si="0"/>
        <v>0.48</v>
      </c>
    </row>
    <row r="16" spans="1:10" x14ac:dyDescent="0.2">
      <c r="A16">
        <v>2</v>
      </c>
      <c r="B16" t="s">
        <v>83</v>
      </c>
      <c r="C16" t="s">
        <v>13</v>
      </c>
      <c r="E16">
        <v>2.5</v>
      </c>
      <c r="F16">
        <v>1.5</v>
      </c>
      <c r="H16">
        <f t="shared" si="0"/>
        <v>3</v>
      </c>
    </row>
    <row r="17" spans="1:10" x14ac:dyDescent="0.2">
      <c r="A17">
        <v>2</v>
      </c>
      <c r="B17" t="s">
        <v>88</v>
      </c>
      <c r="C17" t="s">
        <v>86</v>
      </c>
      <c r="D17" t="s">
        <v>87</v>
      </c>
      <c r="E17">
        <v>0.04</v>
      </c>
      <c r="F17">
        <v>0.04</v>
      </c>
      <c r="H17">
        <f t="shared" si="0"/>
        <v>0.08</v>
      </c>
    </row>
    <row r="18" spans="1:10" x14ac:dyDescent="0.2">
      <c r="A18">
        <v>2</v>
      </c>
      <c r="B18" t="s">
        <v>88</v>
      </c>
      <c r="C18" t="s">
        <v>141</v>
      </c>
      <c r="D18" t="s">
        <v>142</v>
      </c>
      <c r="E18">
        <v>0.25</v>
      </c>
      <c r="F18">
        <v>0.25</v>
      </c>
      <c r="H18">
        <f t="shared" si="0"/>
        <v>0.5</v>
      </c>
    </row>
    <row r="20" spans="1:10" x14ac:dyDescent="0.2">
      <c r="A20">
        <v>1</v>
      </c>
      <c r="B20" t="s">
        <v>84</v>
      </c>
      <c r="C20" t="s">
        <v>85</v>
      </c>
      <c r="E20">
        <v>3.25</v>
      </c>
      <c r="F20">
        <v>1</v>
      </c>
      <c r="H20">
        <f t="shared" ref="H20:H27" si="1">A20*F20</f>
        <v>1</v>
      </c>
      <c r="J20">
        <v>4</v>
      </c>
    </row>
    <row r="21" spans="1:10" x14ac:dyDescent="0.2">
      <c r="A21">
        <v>2</v>
      </c>
      <c r="B21" t="s">
        <v>89</v>
      </c>
      <c r="C21" t="s">
        <v>91</v>
      </c>
      <c r="D21" t="s">
        <v>90</v>
      </c>
      <c r="E21">
        <v>0.02</v>
      </c>
      <c r="F21">
        <v>0.02</v>
      </c>
      <c r="H21">
        <f t="shared" si="1"/>
        <v>0.04</v>
      </c>
    </row>
    <row r="22" spans="1:10" x14ac:dyDescent="0.2">
      <c r="A22">
        <v>2</v>
      </c>
      <c r="B22" t="s">
        <v>94</v>
      </c>
      <c r="C22" t="s">
        <v>144</v>
      </c>
      <c r="D22" t="s">
        <v>145</v>
      </c>
      <c r="E22">
        <v>0.02</v>
      </c>
      <c r="F22">
        <v>0.02</v>
      </c>
      <c r="H22">
        <f t="shared" si="1"/>
        <v>0.04</v>
      </c>
    </row>
    <row r="23" spans="1:10" x14ac:dyDescent="0.2">
      <c r="A23">
        <v>2</v>
      </c>
      <c r="B23" t="s">
        <v>95</v>
      </c>
      <c r="C23" t="s">
        <v>93</v>
      </c>
      <c r="D23" t="s">
        <v>143</v>
      </c>
      <c r="E23">
        <v>0.02</v>
      </c>
      <c r="F23">
        <v>0.02</v>
      </c>
      <c r="H23">
        <f t="shared" si="1"/>
        <v>0.04</v>
      </c>
    </row>
    <row r="24" spans="1:10" x14ac:dyDescent="0.2">
      <c r="A24">
        <v>1</v>
      </c>
      <c r="B24" t="s">
        <v>96</v>
      </c>
      <c r="C24" s="3" t="s">
        <v>102</v>
      </c>
      <c r="D24" t="s">
        <v>101</v>
      </c>
      <c r="E24">
        <v>0.2</v>
      </c>
      <c r="F24">
        <v>0.2</v>
      </c>
      <c r="H24">
        <f t="shared" si="1"/>
        <v>0.2</v>
      </c>
    </row>
    <row r="25" spans="1:10" x14ac:dyDescent="0.2">
      <c r="A25">
        <v>1</v>
      </c>
      <c r="B25" t="s">
        <v>97</v>
      </c>
      <c r="E25">
        <v>1.5</v>
      </c>
      <c r="F25">
        <v>1</v>
      </c>
      <c r="H25">
        <f t="shared" si="1"/>
        <v>1</v>
      </c>
    </row>
    <row r="26" spans="1:10" x14ac:dyDescent="0.2">
      <c r="A26">
        <v>2</v>
      </c>
      <c r="B26" t="s">
        <v>98</v>
      </c>
      <c r="C26" t="s">
        <v>104</v>
      </c>
      <c r="D26" t="s">
        <v>103</v>
      </c>
      <c r="E26">
        <v>0.26</v>
      </c>
      <c r="F26">
        <v>0.26</v>
      </c>
      <c r="H26">
        <f t="shared" si="1"/>
        <v>0.52</v>
      </c>
    </row>
    <row r="27" spans="1:10" x14ac:dyDescent="0.2">
      <c r="A27">
        <v>1</v>
      </c>
      <c r="B27" t="s">
        <v>99</v>
      </c>
      <c r="E27">
        <v>0.1</v>
      </c>
      <c r="F27">
        <v>0.1</v>
      </c>
      <c r="H27">
        <f t="shared" si="1"/>
        <v>0.1</v>
      </c>
    </row>
    <row r="29" spans="1:10" x14ac:dyDescent="0.2">
      <c r="A29">
        <v>1</v>
      </c>
      <c r="B29" t="s">
        <v>100</v>
      </c>
      <c r="E29">
        <v>23.5</v>
      </c>
      <c r="F29">
        <v>23.5</v>
      </c>
      <c r="H29">
        <v>45.5</v>
      </c>
    </row>
    <row r="35" spans="2:8" x14ac:dyDescent="0.2">
      <c r="H35">
        <f>SUM(H5:H34)</f>
        <v>86.72999999999999</v>
      </c>
    </row>
    <row r="38" spans="2:8" x14ac:dyDescent="0.2">
      <c r="B38" t="s">
        <v>181</v>
      </c>
      <c r="H38">
        <f>H34/24</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9TE 24ch CV - fab_PCB</vt:lpstr>
      <vt:lpstr>Manual</vt:lpstr>
      <vt:lpstr>BOM</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Spies, Dominik (DF FA AS DH AMB 1)</dc:creator>
  <cp:keywords>C_Unrestricted</cp:keywords>
  <cp:lastModifiedBy>dosp</cp:lastModifiedBy>
  <dcterms:created xsi:type="dcterms:W3CDTF">2017-12-04T08:49:07Z</dcterms:created>
  <dcterms:modified xsi:type="dcterms:W3CDTF">2021-02-09T12:09:44Z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WorkbookGuid">
    <vt:lpwstr>2374fcad-9f8f-4eb3-b65d-9b1dcf95ec59</vt:lpwstr>
  </property>
</Properties>
</file>